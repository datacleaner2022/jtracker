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Job Tracker" state="visible" r:id="rId5"/>
  </sheets>
  <calcPr calcId="171027" fullCalcOnLoad="1"/>
</workbook>
</file>

<file path=xl/sharedStrings.xml><?xml version="1.0" encoding="utf-8"?>
<sst xmlns="http://schemas.openxmlformats.org/spreadsheetml/2006/main" count="97" uniqueCount="93">
  <si>
    <t>Job Search Summary</t>
  </si>
  <si>
    <t>Metric</t>
  </si>
  <si>
    <t>Count</t>
  </si>
  <si>
    <t>How to use this tracker</t>
  </si>
  <si>
    <t>Total listings</t>
  </si>
  <si>
    <t>Go to the 'Job Tracker' tab. Pale yellow columns are yours to fill in:</t>
  </si>
  <si>
    <t>Applied (Applied? = Yes)</t>
  </si>
  <si>
    <t>• Applied? – pick Yes/No from the dropdown.</t>
  </si>
  <si>
    <t>By status</t>
  </si>
  <si>
    <t>• Date Applied – type a date, e.g. 2026-10-05. 'Days Since Applied' calculates automatically.</t>
  </si>
  <si>
    <t>Not Applied</t>
  </si>
  <si>
    <t>• Status – pick from the dropdown; the row colour changes with it.</t>
  </si>
  <si>
    <t>Applied</t>
  </si>
  <si>
    <t>• Last Update, Next Step / Follow-up Date, Contact / Recruiter, Notes – free text.</t>
  </si>
  <si>
    <t>No Response</t>
  </si>
  <si>
    <t>New listings: add them in the empty rows at the bottom, with today's date in Date Added.</t>
  </si>
  <si>
    <t>Phone Screen</t>
  </si>
  <si>
    <t>Example entry: Applied? = Yes | Date Applied = 2026-10-06 | Status = Applied | Next Step = Follow up 2026-10-20</t>
  </si>
  <si>
    <t>Interview Scheduled</t>
  </si>
  <si>
    <t>Interviewing</t>
  </si>
  <si>
    <t>Notes on the data</t>
  </si>
  <si>
    <t>Offer</t>
  </si>
  <si>
    <t>Date Added is the day a listing went into this tracker.</t>
  </si>
  <si>
    <t>Accepted</t>
  </si>
  <si>
    <t>Pay is copied as the listing showed it; 'Not listed' means no figure was given.</t>
  </si>
  <si>
    <t>Rejected</t>
  </si>
  <si>
    <t>Distances are rough driving estimates from home, not exact.</t>
  </si>
  <si>
    <t>Withdrawn</t>
  </si>
  <si>
    <t>Where a listing gave little detail, the cell says so. Check the full posting before applying.</t>
  </si>
  <si>
    <t>Interview rate (of applied)</t>
  </si>
  <si>
    <t>Offers received</t>
  </si>
  <si>
    <t>Date Added</t>
  </si>
  <si>
    <t>Company</t>
  </si>
  <si>
    <t>Role</t>
  </si>
  <si>
    <t>Location</t>
  </si>
  <si>
    <t>Approx. km from Kitchener</t>
  </si>
  <si>
    <t>Work Model</t>
  </si>
  <si>
    <t>Pay (as listed)</t>
  </si>
  <si>
    <t>Category</t>
  </si>
  <si>
    <t>Fit / Priority</t>
  </si>
  <si>
    <t>Key Requirements (from listing)</t>
  </si>
  <si>
    <t>How Your Resume Matches</t>
  </si>
  <si>
    <t>Gaps to Address</t>
  </si>
  <si>
    <t>Listing Source</t>
  </si>
  <si>
    <t>Applied?</t>
  </si>
  <si>
    <t>Date Applied</t>
  </si>
  <si>
    <t>Days Since Applied</t>
  </si>
  <si>
    <t>Status</t>
  </si>
  <si>
    <t>Last Update</t>
  </si>
  <si>
    <t>Next Step / Follow-up Date</t>
  </si>
  <si>
    <t>Contact / Recruiter</t>
  </si>
  <si>
    <t>Notes</t>
  </si>
  <si>
    <t>Northbay Logistics (example)</t>
  </si>
  <si>
    <t>Data Analyst</t>
  </si>
  <si>
    <t>Kitchener, ON</t>
  </si>
  <si>
    <t>Hybrid (3 days in office)</t>
  </si>
  <si>
    <t>$68,000 - $78,000 a year</t>
  </si>
  <si>
    <t>Data / Analytics</t>
  </si>
  <si>
    <t>High</t>
  </si>
  <si>
    <t>SQL, Power BI or Tableau, 2+ years building reports, clear communication with operations teams.</t>
  </si>
  <si>
    <t>Built weekly SQL and Excel dashboards for 40 managers; automated reporting with Python.</t>
  </si>
  <si>
    <t>No Tableau listed: mention Power BI as the equivalent.</t>
  </si>
  <si>
    <t>https://www.example.com/jobs/data-analyst-1234</t>
  </si>
  <si>
    <t>Yes</t>
  </si>
  <si>
    <t>Video interview 2026-10-14 at 10:00</t>
  </si>
  <si>
    <t>Sam Lee, Talent Acquisition</t>
  </si>
  <si>
    <t>EXAMPLE ROW: delete it when you start your own tracker. Posted 2026-09-29; Closes 2026-10-20 | My notes: Ask about the hybrid schedule.</t>
  </si>
  <si>
    <t>Maple Grove Health (example)</t>
  </si>
  <si>
    <t>HR Assistant</t>
  </si>
  <si>
    <t>Waterloo, ON</t>
  </si>
  <si>
    <t>On-site</t>
  </si>
  <si>
    <t>$24 - $27 an hour</t>
  </si>
  <si>
    <t>Admin / HR</t>
  </si>
  <si>
    <t>Medium</t>
  </si>
  <si>
    <t>Post-secondary HR diploma, HRIS data entry, scheduling, confidentiality.</t>
  </si>
  <si>
    <t>Two years of office administration and scheduling; strong with Excel.</t>
  </si>
  <si>
    <t>No HR diploma: the CHRP course is in progress.</t>
  </si>
  <si>
    <t>https://www.example.com/careers/hr-assistant-5678</t>
  </si>
  <si>
    <t>Send a thank-you note; Follow up 2026-10-14</t>
  </si>
  <si>
    <t>EXAMPLE ROW: delete it when you start your own tracker. Found by an AI search on 2026-10-02</t>
  </si>
  <si>
    <t>Riverside Software (example)</t>
  </si>
  <si>
    <t>Junior .NET Developer</t>
  </si>
  <si>
    <t>Remote (Ontario)</t>
  </si>
  <si>
    <t>Remote</t>
  </si>
  <si>
    <t>Not listed</t>
  </si>
  <si>
    <t>Software</t>
  </si>
  <si>
    <t>Stretch</t>
  </si>
  <si>
    <t>C#, ASP.NET Core, SQL Server, Git, 1+ year of professional experience.</t>
  </si>
  <si>
    <t>C# and SQL Server from college projects and a co-op term.</t>
  </si>
  <si>
    <t>Less than a year of paid experience; no ASP.NET Core in production.</t>
  </si>
  <si>
    <t>https://www.example.com/jobs/junior-dotnet-9012</t>
  </si>
  <si>
    <t>No</t>
  </si>
  <si>
    <t>EXAMPLE ROW: delete it when you start your own tracker. Careers page: https://www.example.com/careers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</si>
</sst>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yyyy-mm-dd"/>
    <numFmt numFmtId="166" formatCode="yyyy\-mm\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sz val="11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3" fillId="0" borderId="1" xfId="0" applyFont="1" applyBorder="1"/>
    <xf numFmtId="164" fontId="4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166" fontId="4" fillId="3" borderId="1" xfId="0" applyNumberFormat="1" applyFont="1" applyFill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30" customWidth="1"/>
    <col min="2" max="2" width="14" customWidth="1"/>
    <col min="4" max="4" width="70" customWidth="1"/>
  </cols>
  <sheetData>
    <row r="1" ht="17.35" customHeight="1" spans="1:1" x14ac:dyDescent="0.25">
      <c r="A1" s="1" t="s">
        <v>0</v>
      </c>
    </row>
    <row r="3" spans="1:4" x14ac:dyDescent="0.25">
      <c r="A3" s="2" t="s">
        <v>1</v>
      </c>
      <c r="B3" s="2" t="s">
        <v>2</v>
      </c>
      <c r="D3" s="3" t="s">
        <v>3</v>
      </c>
    </row>
    <row r="4" ht="15" customHeight="1" spans="1:4" x14ac:dyDescent="0.25">
      <c r="A4" s="4" t="s">
        <v>4</v>
      </c>
      <c r="B4" s="4">
        <f>COUNTA('Job Tracker'!B2:B52)</f>
      </c>
      <c r="D4" s="5" t="s">
        <v>5</v>
      </c>
    </row>
    <row r="5" ht="15" customHeight="1" spans="1:4" x14ac:dyDescent="0.25">
      <c r="A5" s="4" t="s">
        <v>6</v>
      </c>
      <c r="B5" s="4">
        <f>COUNTIF('Job Tracker'!N2:N52,"Yes")</f>
      </c>
      <c r="D5" s="5" t="s">
        <v>7</v>
      </c>
    </row>
    <row r="6" ht="15" customHeight="1" spans="1:4" x14ac:dyDescent="0.25">
      <c r="A6" s="6" t="s">
        <v>8</v>
      </c>
      <c r="B6" s="4"/>
      <c r="D6" s="5" t="s">
        <v>9</v>
      </c>
    </row>
    <row r="7" ht="15" customHeight="1" spans="1:4" x14ac:dyDescent="0.25">
      <c r="A7" s="4" t="s">
        <v>10</v>
      </c>
      <c r="B7" s="4">
        <f>COUNTIF('Job Tracker'!Q2:Q52,A7)</f>
      </c>
      <c r="D7" s="5" t="s">
        <v>11</v>
      </c>
    </row>
    <row r="8" ht="15" customHeight="1" spans="1:4" x14ac:dyDescent="0.25">
      <c r="A8" s="4" t="s">
        <v>12</v>
      </c>
      <c r="B8" s="4">
        <f>COUNTIF('Job Tracker'!Q2:Q52,A8)</f>
      </c>
      <c r="D8" s="5" t="s">
        <v>13</v>
      </c>
    </row>
    <row r="9" ht="15" customHeight="1" spans="1:4" x14ac:dyDescent="0.25">
      <c r="A9" s="4" t="s">
        <v>14</v>
      </c>
      <c r="B9" s="4">
        <f>COUNTIF('Job Tracker'!Q2:Q52,A9)</f>
      </c>
      <c r="D9" s="5" t="s">
        <v>15</v>
      </c>
    </row>
    <row r="10" ht="15" customHeight="1" spans="1:4" x14ac:dyDescent="0.25">
      <c r="A10" s="4" t="s">
        <v>16</v>
      </c>
      <c r="B10" s="4">
        <f>COUNTIF('Job Tracker'!Q2:Q52,A10)</f>
      </c>
      <c r="D10" s="5" t="s">
        <v>17</v>
      </c>
    </row>
    <row r="11" ht="15" customHeight="1" spans="1:2" x14ac:dyDescent="0.25">
      <c r="A11" s="4" t="s">
        <v>18</v>
      </c>
      <c r="B11" s="4">
        <f>COUNTIF('Job Tracker'!Q2:Q52,A11)</f>
      </c>
    </row>
    <row r="12" ht="15" customHeight="1" spans="1:4" x14ac:dyDescent="0.25">
      <c r="A12" s="4" t="s">
        <v>19</v>
      </c>
      <c r="B12" s="4">
        <f>COUNTIF('Job Tracker'!Q2:Q52,A12)</f>
      </c>
      <c r="D12" s="3" t="s">
        <v>20</v>
      </c>
    </row>
    <row r="13" ht="15" customHeight="1" spans="1:4" x14ac:dyDescent="0.25">
      <c r="A13" s="4" t="s">
        <v>21</v>
      </c>
      <c r="B13" s="4">
        <f>COUNTIF('Job Tracker'!Q2:Q52,A13)</f>
      </c>
      <c r="D13" s="5" t="s">
        <v>22</v>
      </c>
    </row>
    <row r="14" ht="15" customHeight="1" spans="1:4" x14ac:dyDescent="0.25">
      <c r="A14" s="4" t="s">
        <v>23</v>
      </c>
      <c r="B14" s="4">
        <f>COUNTIF('Job Tracker'!Q2:Q52,A14)</f>
      </c>
      <c r="D14" s="5" t="s">
        <v>24</v>
      </c>
    </row>
    <row r="15" ht="15" customHeight="1" spans="1:4" x14ac:dyDescent="0.25">
      <c r="A15" s="4" t="s">
        <v>25</v>
      </c>
      <c r="B15" s="4">
        <f>COUNTIF('Job Tracker'!Q2:Q52,A15)</f>
      </c>
      <c r="D15" s="5" t="s">
        <v>26</v>
      </c>
    </row>
    <row r="16" ht="15" customHeight="1" spans="1:4" x14ac:dyDescent="0.25">
      <c r="A16" s="4" t="s">
        <v>27</v>
      </c>
      <c r="B16" s="4">
        <f>COUNTIF('Job Tracker'!Q2:Q52,A16)</f>
      </c>
      <c r="D16" s="5" t="s">
        <v>28</v>
      </c>
    </row>
    <row r="18" ht="15" customHeight="1" spans="1:2" x14ac:dyDescent="0.25">
      <c r="A18" s="4" t="s">
        <v>29</v>
      </c>
      <c r="B18" s="7">
        <f>IFERROR((COUNTIF('Job Tracker'!Q2:Q52,"Phone Screen")+COUNTIF('Job Tracker'!Q2:Q52,"Interview Scheduled")+COUNTIF('Job Tracker'!Q2:Q52,"Interviewing")+COUNTIF('Job Tracker'!Q2:Q52,"Offer")+COUNTIF('Job Tracker'!Q2:Q52,"Accepted"))/B5,0)</f>
      </c>
    </row>
    <row r="19" ht="15" customHeight="1" spans="1:2" x14ac:dyDescent="0.25">
      <c r="A19" s="4" t="s">
        <v>30</v>
      </c>
      <c r="B19" s="4">
        <f>COUNTIF('Job Tracker'!Q2:Q52,"Offer")+COUNTIF('Job Tracker'!Q2:Q52,"Accepted")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4" customWidth="1"/>
    <col min="4" max="4" width="14" customWidth="1"/>
    <col min="5" max="5" width="13" customWidth="1"/>
    <col min="6" max="6" width="16" customWidth="1"/>
    <col min="7" max="7" width="20" customWidth="1"/>
    <col min="8" max="8" width="22" customWidth="1"/>
    <col min="9" max="9" width="13" customWidth="1"/>
    <col min="10" max="11" width="50" customWidth="1"/>
    <col min="12" max="12" width="45" customWidth="1"/>
    <col min="13" max="13" width="40" customWidth="1"/>
    <col min="14" max="14" width="10" customWidth="1"/>
    <col min="15" max="15" width="13" customWidth="1"/>
    <col min="16" max="16" width="12" customWidth="1"/>
    <col min="17" max="17" width="20" customWidth="1"/>
    <col min="18" max="18" width="13" customWidth="1"/>
    <col min="19" max="20" width="22" customWidth="1"/>
    <col min="21" max="21" width="40" customWidth="1"/>
  </cols>
  <sheetData>
    <row r="1" ht="31.5" customHeight="1" spans="1:21" x14ac:dyDescent="0.25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  <c r="R1" s="8" t="s">
        <v>48</v>
      </c>
      <c r="S1" s="8" t="s">
        <v>49</v>
      </c>
      <c r="T1" s="8" t="s">
        <v>50</v>
      </c>
      <c r="U1" s="8" t="s">
        <v>51</v>
      </c>
    </row>
    <row r="2" ht="39.55" customHeight="1" spans="1:21" x14ac:dyDescent="0.25">
      <c r="A2" s="9">
        <v>46296</v>
      </c>
      <c r="B2" s="10" t="s">
        <v>52</v>
      </c>
      <c r="C2" s="10" t="s">
        <v>53</v>
      </c>
      <c r="D2" s="11" t="s">
        <v>54</v>
      </c>
      <c r="E2" s="11">
        <v>0</v>
      </c>
      <c r="F2" s="10" t="s">
        <v>55</v>
      </c>
      <c r="G2" s="10" t="s">
        <v>56</v>
      </c>
      <c r="H2" s="11" t="s">
        <v>57</v>
      </c>
      <c r="I2" s="11" t="s">
        <v>58</v>
      </c>
      <c r="J2" s="10" t="s">
        <v>59</v>
      </c>
      <c r="K2" s="10" t="s">
        <v>60</v>
      </c>
      <c r="L2" s="10" t="s">
        <v>61</v>
      </c>
      <c r="M2" s="11" t="s">
        <v>62</v>
      </c>
      <c r="N2" s="12" t="s">
        <v>63</v>
      </c>
      <c r="O2" s="13">
        <v>46298</v>
      </c>
      <c r="P2" s="14">
        <f>IF(O2="","",IF(Q2="Not Applied","",TODAY()-O2))</f>
      </c>
      <c r="Q2" s="12" t="s">
        <v>18</v>
      </c>
      <c r="R2" s="13">
        <v>46304</v>
      </c>
      <c r="S2" s="15" t="s">
        <v>64</v>
      </c>
      <c r="T2" s="15" t="s">
        <v>65</v>
      </c>
      <c r="U2" s="15" t="s">
        <v>66</v>
      </c>
    </row>
    <row r="3" ht="39.55" customHeight="1" spans="1:21" x14ac:dyDescent="0.25">
      <c r="A3" s="9">
        <v>46297</v>
      </c>
      <c r="B3" s="10" t="s">
        <v>67</v>
      </c>
      <c r="C3" s="10" t="s">
        <v>68</v>
      </c>
      <c r="D3" s="11" t="s">
        <v>69</v>
      </c>
      <c r="E3" s="11">
        <v>6</v>
      </c>
      <c r="F3" s="10" t="s">
        <v>70</v>
      </c>
      <c r="G3" s="10" t="s">
        <v>71</v>
      </c>
      <c r="H3" s="11" t="s">
        <v>72</v>
      </c>
      <c r="I3" s="11" t="s">
        <v>73</v>
      </c>
      <c r="J3" s="10" t="s">
        <v>74</v>
      </c>
      <c r="K3" s="10" t="s">
        <v>75</v>
      </c>
      <c r="L3" s="10" t="s">
        <v>76</v>
      </c>
      <c r="M3" s="11" t="s">
        <v>77</v>
      </c>
      <c r="N3" s="12" t="s">
        <v>63</v>
      </c>
      <c r="O3" s="13">
        <v>46299</v>
      </c>
      <c r="P3" s="14">
        <f>IF(O3="","",IF(Q3="Not Applied","",TODAY()-O3))</f>
      </c>
      <c r="Q3" s="12" t="s">
        <v>12</v>
      </c>
      <c r="R3" s="13">
        <v>46299</v>
      </c>
      <c r="S3" s="15" t="s">
        <v>78</v>
      </c>
      <c r="T3" s="15"/>
      <c r="U3" s="15" t="s">
        <v>79</v>
      </c>
    </row>
    <row r="4" ht="39.55" customHeight="1" spans="1:21" x14ac:dyDescent="0.25">
      <c r="A4" s="9">
        <v>46300</v>
      </c>
      <c r="B4" s="10" t="s">
        <v>80</v>
      </c>
      <c r="C4" s="10" t="s">
        <v>81</v>
      </c>
      <c r="D4" s="11" t="s">
        <v>82</v>
      </c>
      <c r="E4" s="11">
        <v>0</v>
      </c>
      <c r="F4" s="10" t="s">
        <v>83</v>
      </c>
      <c r="G4" s="10" t="s">
        <v>84</v>
      </c>
      <c r="H4" s="11" t="s">
        <v>85</v>
      </c>
      <c r="I4" s="11" t="s">
        <v>86</v>
      </c>
      <c r="J4" s="10" t="s">
        <v>87</v>
      </c>
      <c r="K4" s="10" t="s">
        <v>88</v>
      </c>
      <c r="L4" s="10" t="s">
        <v>89</v>
      </c>
      <c r="M4" s="11" t="s">
        <v>90</v>
      </c>
      <c r="N4" s="12" t="s">
        <v>91</v>
      </c>
      <c r="O4" s="13"/>
      <c r="P4" s="14">
        <f>IF(O4="","",IF(Q4="Not Applied","",TODAY()-O4))</f>
      </c>
      <c r="Q4" s="12" t="s">
        <v>10</v>
      </c>
      <c r="R4" s="13"/>
      <c r="S4" s="15"/>
      <c r="T4" s="15"/>
      <c r="U4" s="15" t="s">
        <v>92</v>
      </c>
    </row>
    <row r="5" ht="39.55" customHeight="1" spans="1:21" x14ac:dyDescent="0.25">
      <c r="A5" s="9"/>
      <c r="B5" s="10"/>
      <c r="C5" s="10"/>
      <c r="D5" s="11"/>
      <c r="E5" s="11"/>
      <c r="F5" s="10"/>
      <c r="G5" s="10"/>
      <c r="H5" s="11"/>
      <c r="I5" s="11"/>
      <c r="J5" s="10"/>
      <c r="K5" s="10"/>
      <c r="L5" s="10"/>
      <c r="M5" s="11"/>
      <c r="N5" s="12"/>
      <c r="O5" s="13"/>
      <c r="P5" s="14">
        <f>IF(O5="","",IF(Q5="Not Applied","",TODAY()-O5))</f>
      </c>
      <c r="Q5" s="12"/>
      <c r="R5" s="13"/>
      <c r="S5" s="15"/>
      <c r="T5" s="15"/>
      <c r="U5" s="15"/>
    </row>
    <row r="6" ht="39.55" customHeight="1" spans="1:21" x14ac:dyDescent="0.25">
      <c r="A6" s="9"/>
      <c r="B6" s="10"/>
      <c r="C6" s="10"/>
      <c r="D6" s="11"/>
      <c r="E6" s="11"/>
      <c r="F6" s="10"/>
      <c r="G6" s="10"/>
      <c r="H6" s="11"/>
      <c r="I6" s="11"/>
      <c r="J6" s="10"/>
      <c r="K6" s="10"/>
      <c r="L6" s="10"/>
      <c r="M6" s="11"/>
      <c r="N6" s="12"/>
      <c r="O6" s="13"/>
      <c r="P6" s="14">
        <f>IF(O6="","",IF(Q6="Not Applied","",TODAY()-O6))</f>
      </c>
      <c r="Q6" s="12"/>
      <c r="R6" s="13"/>
      <c r="S6" s="15"/>
      <c r="T6" s="15"/>
      <c r="U6" s="15"/>
    </row>
    <row r="7" ht="39.55" customHeight="1" spans="1:21" x14ac:dyDescent="0.25">
      <c r="A7" s="9"/>
      <c r="B7" s="10"/>
      <c r="C7" s="10"/>
      <c r="D7" s="11"/>
      <c r="E7" s="11"/>
      <c r="F7" s="10"/>
      <c r="G7" s="10"/>
      <c r="H7" s="11"/>
      <c r="I7" s="11"/>
      <c r="J7" s="10"/>
      <c r="K7" s="10"/>
      <c r="L7" s="10"/>
      <c r="M7" s="11"/>
      <c r="N7" s="12"/>
      <c r="O7" s="13"/>
      <c r="P7" s="14">
        <f>IF(O7="","",IF(Q7="Not Applied","",TODAY()-O7))</f>
      </c>
      <c r="Q7" s="12"/>
      <c r="R7" s="13"/>
      <c r="S7" s="15"/>
      <c r="T7" s="15"/>
      <c r="U7" s="15"/>
    </row>
    <row r="8" ht="39.55" customHeight="1" spans="1:21" x14ac:dyDescent="0.25">
      <c r="A8" s="9"/>
      <c r="B8" s="10"/>
      <c r="C8" s="10"/>
      <c r="D8" s="11"/>
      <c r="E8" s="11"/>
      <c r="F8" s="10"/>
      <c r="G8" s="10"/>
      <c r="H8" s="11"/>
      <c r="I8" s="11"/>
      <c r="J8" s="10"/>
      <c r="K8" s="10"/>
      <c r="L8" s="10"/>
      <c r="M8" s="11"/>
      <c r="N8" s="12"/>
      <c r="O8" s="13"/>
      <c r="P8" s="14">
        <f>IF(O8="","",IF(Q8="Not Applied","",TODAY()-O8))</f>
      </c>
      <c r="Q8" s="12"/>
      <c r="R8" s="13"/>
      <c r="S8" s="15"/>
      <c r="T8" s="15"/>
      <c r="U8" s="15"/>
    </row>
    <row r="9" ht="39.55" customHeight="1" spans="1:21" x14ac:dyDescent="0.25">
      <c r="A9" s="9"/>
      <c r="B9" s="10"/>
      <c r="C9" s="10"/>
      <c r="D9" s="11"/>
      <c r="E9" s="11"/>
      <c r="F9" s="10"/>
      <c r="G9" s="10"/>
      <c r="H9" s="11"/>
      <c r="I9" s="11"/>
      <c r="J9" s="10"/>
      <c r="K9" s="10"/>
      <c r="L9" s="10"/>
      <c r="M9" s="11"/>
      <c r="N9" s="12"/>
      <c r="O9" s="13"/>
      <c r="P9" s="14">
        <f>IF(O9="","",IF(Q9="Not Applied","",TODAY()-O9))</f>
      </c>
      <c r="Q9" s="12"/>
      <c r="R9" s="13"/>
      <c r="S9" s="15"/>
      <c r="T9" s="15"/>
      <c r="U9" s="15"/>
    </row>
    <row r="10" ht="39.55" customHeight="1" spans="1:21" x14ac:dyDescent="0.25">
      <c r="A10" s="9"/>
      <c r="B10" s="10"/>
      <c r="C10" s="10"/>
      <c r="D10" s="11"/>
      <c r="E10" s="11"/>
      <c r="F10" s="10"/>
      <c r="G10" s="10"/>
      <c r="H10" s="11"/>
      <c r="I10" s="11"/>
      <c r="J10" s="10"/>
      <c r="K10" s="10"/>
      <c r="L10" s="10"/>
      <c r="M10" s="11"/>
      <c r="N10" s="12"/>
      <c r="O10" s="13"/>
      <c r="P10" s="14">
        <f>IF(O10="","",IF(Q10="Not Applied","",TODAY()-O10))</f>
      </c>
      <c r="Q10" s="12"/>
      <c r="R10" s="13"/>
      <c r="S10" s="15"/>
      <c r="T10" s="15"/>
      <c r="U10" s="15"/>
    </row>
    <row r="11" ht="39.55" customHeight="1" spans="1:21" x14ac:dyDescent="0.25">
      <c r="A11" s="9"/>
      <c r="B11" s="10"/>
      <c r="C11" s="10"/>
      <c r="D11" s="11"/>
      <c r="E11" s="11"/>
      <c r="F11" s="10"/>
      <c r="G11" s="10"/>
      <c r="H11" s="11"/>
      <c r="I11" s="11"/>
      <c r="J11" s="10"/>
      <c r="K11" s="10"/>
      <c r="L11" s="10"/>
      <c r="M11" s="11"/>
      <c r="N11" s="12"/>
      <c r="O11" s="13"/>
      <c r="P11" s="14">
        <f>IF(O11="","",IF(Q11="Not Applied","",TODAY()-O11))</f>
      </c>
      <c r="Q11" s="12"/>
      <c r="R11" s="13"/>
      <c r="S11" s="15"/>
      <c r="T11" s="15"/>
      <c r="U11" s="15"/>
    </row>
    <row r="12" ht="39.55" customHeight="1" spans="1:21" x14ac:dyDescent="0.25">
      <c r="A12" s="9"/>
      <c r="B12" s="10"/>
      <c r="C12" s="10"/>
      <c r="D12" s="11"/>
      <c r="E12" s="11"/>
      <c r="F12" s="10"/>
      <c r="G12" s="10"/>
      <c r="H12" s="11"/>
      <c r="I12" s="11"/>
      <c r="J12" s="10"/>
      <c r="K12" s="10"/>
      <c r="L12" s="10"/>
      <c r="M12" s="11"/>
      <c r="N12" s="12"/>
      <c r="O12" s="13"/>
      <c r="P12" s="14">
        <f>IF(O12="","",IF(Q12="Not Applied","",TODAY()-O12))</f>
      </c>
      <c r="Q12" s="12"/>
      <c r="R12" s="13"/>
      <c r="S12" s="15"/>
      <c r="T12" s="15"/>
      <c r="U12" s="15"/>
    </row>
    <row r="13" ht="39.55" customHeight="1" spans="1:21" x14ac:dyDescent="0.25">
      <c r="A13" s="9"/>
      <c r="B13" s="10"/>
      <c r="C13" s="10"/>
      <c r="D13" s="11"/>
      <c r="E13" s="11"/>
      <c r="F13" s="10"/>
      <c r="G13" s="10"/>
      <c r="H13" s="11"/>
      <c r="I13" s="11"/>
      <c r="J13" s="10"/>
      <c r="K13" s="10"/>
      <c r="L13" s="10"/>
      <c r="M13" s="11"/>
      <c r="N13" s="12"/>
      <c r="O13" s="13"/>
      <c r="P13" s="14">
        <f>IF(O13="","",IF(Q13="Not Applied","",TODAY()-O13))</f>
      </c>
      <c r="Q13" s="12"/>
      <c r="R13" s="13"/>
      <c r="S13" s="15"/>
      <c r="T13" s="15"/>
      <c r="U13" s="15"/>
    </row>
    <row r="14" ht="39.55" customHeight="1" spans="1:21" x14ac:dyDescent="0.25">
      <c r="A14" s="9"/>
      <c r="B14" s="10"/>
      <c r="C14" s="10"/>
      <c r="D14" s="11"/>
      <c r="E14" s="11"/>
      <c r="F14" s="10"/>
      <c r="G14" s="10"/>
      <c r="H14" s="11"/>
      <c r="I14" s="11"/>
      <c r="J14" s="10"/>
      <c r="K14" s="10"/>
      <c r="L14" s="10"/>
      <c r="M14" s="11"/>
      <c r="N14" s="12"/>
      <c r="O14" s="13"/>
      <c r="P14" s="14">
        <f>IF(O14="","",IF(Q14="Not Applied","",TODAY()-O14))</f>
      </c>
      <c r="Q14" s="12"/>
      <c r="R14" s="13"/>
      <c r="S14" s="15"/>
      <c r="T14" s="15"/>
      <c r="U14" s="15"/>
    </row>
    <row r="15" ht="39.55" customHeight="1" spans="1:21" x14ac:dyDescent="0.25">
      <c r="A15" s="9"/>
      <c r="B15" s="10"/>
      <c r="C15" s="10"/>
      <c r="D15" s="11"/>
      <c r="E15" s="11"/>
      <c r="F15" s="10"/>
      <c r="G15" s="10"/>
      <c r="H15" s="11"/>
      <c r="I15" s="11"/>
      <c r="J15" s="10"/>
      <c r="K15" s="10"/>
      <c r="L15" s="10"/>
      <c r="M15" s="11"/>
      <c r="N15" s="12"/>
      <c r="O15" s="13"/>
      <c r="P15" s="14">
        <f>IF(O15="","",IF(Q15="Not Applied","",TODAY()-O15))</f>
      </c>
      <c r="Q15" s="12"/>
      <c r="R15" s="13"/>
      <c r="S15" s="15"/>
      <c r="T15" s="15"/>
      <c r="U15" s="15"/>
    </row>
    <row r="16" ht="39.55" customHeight="1" spans="1:21" x14ac:dyDescent="0.25">
      <c r="A16" s="9"/>
      <c r="B16" s="10"/>
      <c r="C16" s="10"/>
      <c r="D16" s="11"/>
      <c r="E16" s="11"/>
      <c r="F16" s="10"/>
      <c r="G16" s="10"/>
      <c r="H16" s="11"/>
      <c r="I16" s="11"/>
      <c r="J16" s="10"/>
      <c r="K16" s="10"/>
      <c r="L16" s="10"/>
      <c r="M16" s="11"/>
      <c r="N16" s="12"/>
      <c r="O16" s="13"/>
      <c r="P16" s="14">
        <f>IF(O16="","",IF(Q16="Not Applied","",TODAY()-O16))</f>
      </c>
      <c r="Q16" s="12"/>
      <c r="R16" s="13"/>
      <c r="S16" s="15"/>
      <c r="T16" s="15"/>
      <c r="U16" s="15"/>
    </row>
    <row r="17" ht="39.55" customHeight="1" spans="1:21" x14ac:dyDescent="0.25">
      <c r="A17" s="9"/>
      <c r="B17" s="10"/>
      <c r="C17" s="10"/>
      <c r="D17" s="11"/>
      <c r="E17" s="11"/>
      <c r="F17" s="10"/>
      <c r="G17" s="10"/>
      <c r="H17" s="11"/>
      <c r="I17" s="11"/>
      <c r="J17" s="10"/>
      <c r="K17" s="10"/>
      <c r="L17" s="10"/>
      <c r="M17" s="11"/>
      <c r="N17" s="12"/>
      <c r="O17" s="13"/>
      <c r="P17" s="14">
        <f>IF(O17="","",IF(Q17="Not Applied","",TODAY()-O17))</f>
      </c>
      <c r="Q17" s="12"/>
      <c r="R17" s="13"/>
      <c r="S17" s="15"/>
      <c r="T17" s="15"/>
      <c r="U17" s="15"/>
    </row>
    <row r="18" ht="39.55" customHeight="1" spans="1:21" x14ac:dyDescent="0.25">
      <c r="A18" s="9"/>
      <c r="B18" s="10"/>
      <c r="C18" s="10"/>
      <c r="D18" s="11"/>
      <c r="E18" s="11"/>
      <c r="F18" s="10"/>
      <c r="G18" s="10"/>
      <c r="H18" s="11"/>
      <c r="I18" s="11"/>
      <c r="J18" s="10"/>
      <c r="K18" s="10"/>
      <c r="L18" s="10"/>
      <c r="M18" s="11"/>
      <c r="N18" s="12"/>
      <c r="O18" s="13"/>
      <c r="P18" s="14">
        <f>IF(O18="","",IF(Q18="Not Applied","",TODAY()-O18))</f>
      </c>
      <c r="Q18" s="12"/>
      <c r="R18" s="13"/>
      <c r="S18" s="15"/>
      <c r="T18" s="15"/>
      <c r="U18" s="15"/>
    </row>
    <row r="19" ht="39.55" customHeight="1" spans="1:21" x14ac:dyDescent="0.25">
      <c r="A19" s="9"/>
      <c r="B19" s="10"/>
      <c r="C19" s="10"/>
      <c r="D19" s="11"/>
      <c r="E19" s="11"/>
      <c r="F19" s="10"/>
      <c r="G19" s="10"/>
      <c r="H19" s="11"/>
      <c r="I19" s="11"/>
      <c r="J19" s="10"/>
      <c r="K19" s="10"/>
      <c r="L19" s="10"/>
      <c r="M19" s="11"/>
      <c r="N19" s="12"/>
      <c r="O19" s="13"/>
      <c r="P19" s="14">
        <f>IF(O19="","",IF(Q19="Not Applied","",TODAY()-O19))</f>
      </c>
      <c r="Q19" s="12"/>
      <c r="R19" s="13"/>
      <c r="S19" s="15"/>
      <c r="T19" s="15"/>
      <c r="U19" s="15"/>
    </row>
    <row r="20" ht="39.55" customHeight="1" spans="1:21" x14ac:dyDescent="0.25">
      <c r="A20" s="9"/>
      <c r="B20" s="10"/>
      <c r="C20" s="10"/>
      <c r="D20" s="11"/>
      <c r="E20" s="11"/>
      <c r="F20" s="10"/>
      <c r="G20" s="10"/>
      <c r="H20" s="11"/>
      <c r="I20" s="11"/>
      <c r="J20" s="10"/>
      <c r="K20" s="10"/>
      <c r="L20" s="10"/>
      <c r="M20" s="11"/>
      <c r="N20" s="12"/>
      <c r="O20" s="13"/>
      <c r="P20" s="14">
        <f>IF(O20="","",IF(Q20="Not Applied","",TODAY()-O20))</f>
      </c>
      <c r="Q20" s="12"/>
      <c r="R20" s="13"/>
      <c r="S20" s="15"/>
      <c r="T20" s="15"/>
      <c r="U20" s="15"/>
    </row>
    <row r="21" ht="39.55" customHeight="1" spans="1:21" x14ac:dyDescent="0.25">
      <c r="A21" s="9"/>
      <c r="B21" s="10"/>
      <c r="C21" s="10"/>
      <c r="D21" s="11"/>
      <c r="E21" s="11"/>
      <c r="F21" s="10"/>
      <c r="G21" s="10"/>
      <c r="H21" s="11"/>
      <c r="I21" s="11"/>
      <c r="J21" s="10"/>
      <c r="K21" s="10"/>
      <c r="L21" s="10"/>
      <c r="M21" s="11"/>
      <c r="N21" s="12"/>
      <c r="O21" s="13"/>
      <c r="P21" s="14">
        <f>IF(O21="","",IF(Q21="Not Applied","",TODAY()-O21))</f>
      </c>
      <c r="Q21" s="12"/>
      <c r="R21" s="13"/>
      <c r="S21" s="15"/>
      <c r="T21" s="15"/>
      <c r="U21" s="15"/>
    </row>
    <row r="22" ht="39.55" customHeight="1" spans="1:21" x14ac:dyDescent="0.25">
      <c r="A22" s="9"/>
      <c r="B22" s="10"/>
      <c r="C22" s="10"/>
      <c r="D22" s="11"/>
      <c r="E22" s="11"/>
      <c r="F22" s="10"/>
      <c r="G22" s="10"/>
      <c r="H22" s="11"/>
      <c r="I22" s="11"/>
      <c r="J22" s="10"/>
      <c r="K22" s="10"/>
      <c r="L22" s="10"/>
      <c r="M22" s="11"/>
      <c r="N22" s="12"/>
      <c r="O22" s="13"/>
      <c r="P22" s="14">
        <f>IF(O22="","",IF(Q22="Not Applied","",TODAY()-O22))</f>
      </c>
      <c r="Q22" s="12"/>
      <c r="R22" s="13"/>
      <c r="S22" s="15"/>
      <c r="T22" s="15"/>
      <c r="U22" s="15"/>
    </row>
    <row r="23" ht="39.55" customHeight="1" spans="1:21" x14ac:dyDescent="0.25">
      <c r="A23" s="9"/>
      <c r="B23" s="10"/>
      <c r="C23" s="10"/>
      <c r="D23" s="11"/>
      <c r="E23" s="11"/>
      <c r="F23" s="10"/>
      <c r="G23" s="10"/>
      <c r="H23" s="11"/>
      <c r="I23" s="11"/>
      <c r="J23" s="10"/>
      <c r="K23" s="10"/>
      <c r="L23" s="10"/>
      <c r="M23" s="11"/>
      <c r="N23" s="12"/>
      <c r="O23" s="13"/>
      <c r="P23" s="14">
        <f>IF(O23="","",IF(Q23="Not Applied","",TODAY()-O23))</f>
      </c>
      <c r="Q23" s="12"/>
      <c r="R23" s="13"/>
      <c r="S23" s="15"/>
      <c r="T23" s="15"/>
      <c r="U23" s="15"/>
    </row>
    <row r="24" ht="39.55" customHeight="1" spans="1:21" x14ac:dyDescent="0.25">
      <c r="A24" s="9"/>
      <c r="B24" s="10"/>
      <c r="C24" s="10"/>
      <c r="D24" s="11"/>
      <c r="E24" s="11"/>
      <c r="F24" s="10"/>
      <c r="G24" s="10"/>
      <c r="H24" s="11"/>
      <c r="I24" s="11"/>
      <c r="J24" s="10"/>
      <c r="K24" s="10"/>
      <c r="L24" s="10"/>
      <c r="M24" s="11"/>
      <c r="N24" s="12"/>
      <c r="O24" s="13"/>
      <c r="P24" s="14">
        <f>IF(O24="","",IF(Q24="Not Applied","",TODAY()-O24))</f>
      </c>
      <c r="Q24" s="12"/>
      <c r="R24" s="13"/>
      <c r="S24" s="15"/>
      <c r="T24" s="15"/>
      <c r="U24" s="15"/>
    </row>
    <row r="25" ht="39.55" customHeight="1" spans="1:21" x14ac:dyDescent="0.25">
      <c r="A25" s="9"/>
      <c r="B25" s="10"/>
      <c r="C25" s="10"/>
      <c r="D25" s="11"/>
      <c r="E25" s="11"/>
      <c r="F25" s="10"/>
      <c r="G25" s="10"/>
      <c r="H25" s="11"/>
      <c r="I25" s="11"/>
      <c r="J25" s="10"/>
      <c r="K25" s="10"/>
      <c r="L25" s="10"/>
      <c r="M25" s="11"/>
      <c r="N25" s="12"/>
      <c r="O25" s="13"/>
      <c r="P25" s="14">
        <f>IF(O25="","",IF(Q25="Not Applied","",TODAY()-O25))</f>
      </c>
      <c r="Q25" s="12"/>
      <c r="R25" s="13"/>
      <c r="S25" s="15"/>
      <c r="T25" s="15"/>
      <c r="U25" s="15"/>
    </row>
    <row r="26" ht="39.55" customHeight="1" spans="1:21" x14ac:dyDescent="0.25">
      <c r="A26" s="9"/>
      <c r="B26" s="10"/>
      <c r="C26" s="10"/>
      <c r="D26" s="11"/>
      <c r="E26" s="11"/>
      <c r="F26" s="10"/>
      <c r="G26" s="10"/>
      <c r="H26" s="11"/>
      <c r="I26" s="11"/>
      <c r="J26" s="10"/>
      <c r="K26" s="10"/>
      <c r="L26" s="10"/>
      <c r="M26" s="11"/>
      <c r="N26" s="12"/>
      <c r="O26" s="13"/>
      <c r="P26" s="14">
        <f>IF(O26="","",IF(Q26="Not Applied","",TODAY()-O26))</f>
      </c>
      <c r="Q26" s="12"/>
      <c r="R26" s="13"/>
      <c r="S26" s="15"/>
      <c r="T26" s="15"/>
      <c r="U26" s="15"/>
    </row>
    <row r="27" ht="39.55" customHeight="1" spans="1:21" x14ac:dyDescent="0.25">
      <c r="A27" s="9"/>
      <c r="B27" s="10"/>
      <c r="C27" s="10"/>
      <c r="D27" s="11"/>
      <c r="E27" s="11"/>
      <c r="F27" s="10"/>
      <c r="G27" s="10"/>
      <c r="H27" s="11"/>
      <c r="I27" s="11"/>
      <c r="J27" s="10"/>
      <c r="K27" s="10"/>
      <c r="L27" s="10"/>
      <c r="M27" s="11"/>
      <c r="N27" s="12"/>
      <c r="O27" s="13"/>
      <c r="P27" s="14">
        <f>IF(O27="","",IF(Q27="Not Applied","",TODAY()-O27))</f>
      </c>
      <c r="Q27" s="12"/>
      <c r="R27" s="13"/>
      <c r="S27" s="15"/>
      <c r="T27" s="15"/>
      <c r="U27" s="15"/>
    </row>
    <row r="28" ht="39.55" customHeight="1" spans="1:21" x14ac:dyDescent="0.25">
      <c r="A28" s="9"/>
      <c r="B28" s="10"/>
      <c r="C28" s="10"/>
      <c r="D28" s="11"/>
      <c r="E28" s="11"/>
      <c r="F28" s="10"/>
      <c r="G28" s="10"/>
      <c r="H28" s="11"/>
      <c r="I28" s="11"/>
      <c r="J28" s="10"/>
      <c r="K28" s="10"/>
      <c r="L28" s="10"/>
      <c r="M28" s="11"/>
      <c r="N28" s="12"/>
      <c r="O28" s="13"/>
      <c r="P28" s="14">
        <f>IF(O28="","",IF(Q28="Not Applied","",TODAY()-O28))</f>
      </c>
      <c r="Q28" s="12"/>
      <c r="R28" s="13"/>
      <c r="S28" s="15"/>
      <c r="T28" s="15"/>
      <c r="U28" s="15"/>
    </row>
    <row r="29" ht="39.55" customHeight="1" spans="1:21" x14ac:dyDescent="0.25">
      <c r="A29" s="9"/>
      <c r="B29" s="10"/>
      <c r="C29" s="10"/>
      <c r="D29" s="11"/>
      <c r="E29" s="11"/>
      <c r="F29" s="10"/>
      <c r="G29" s="10"/>
      <c r="H29" s="11"/>
      <c r="I29" s="11"/>
      <c r="J29" s="10"/>
      <c r="K29" s="10"/>
      <c r="L29" s="10"/>
      <c r="M29" s="11"/>
      <c r="N29" s="12"/>
      <c r="O29" s="13"/>
      <c r="P29" s="14">
        <f>IF(O29="","",IF(Q29="Not Applied","",TODAY()-O29))</f>
      </c>
      <c r="Q29" s="12"/>
      <c r="R29" s="13"/>
      <c r="S29" s="15"/>
      <c r="T29" s="15"/>
      <c r="U29" s="15"/>
    </row>
    <row r="30" ht="39.55" customHeight="1" spans="1:21" x14ac:dyDescent="0.25">
      <c r="A30" s="9"/>
      <c r="B30" s="10"/>
      <c r="C30" s="10"/>
      <c r="D30" s="11"/>
      <c r="E30" s="11"/>
      <c r="F30" s="10"/>
      <c r="G30" s="10"/>
      <c r="H30" s="11"/>
      <c r="I30" s="11"/>
      <c r="J30" s="10"/>
      <c r="K30" s="10"/>
      <c r="L30" s="10"/>
      <c r="M30" s="11"/>
      <c r="N30" s="12"/>
      <c r="O30" s="13"/>
      <c r="P30" s="14">
        <f>IF(O30="","",IF(Q30="Not Applied","",TODAY()-O30))</f>
      </c>
      <c r="Q30" s="12"/>
      <c r="R30" s="13"/>
      <c r="S30" s="15"/>
      <c r="T30" s="15"/>
      <c r="U30" s="15"/>
    </row>
    <row r="31" ht="39.55" customHeight="1" spans="1:21" x14ac:dyDescent="0.25">
      <c r="A31" s="9"/>
      <c r="B31" s="10"/>
      <c r="C31" s="10"/>
      <c r="D31" s="11"/>
      <c r="E31" s="11"/>
      <c r="F31" s="10"/>
      <c r="G31" s="10"/>
      <c r="H31" s="11"/>
      <c r="I31" s="11"/>
      <c r="J31" s="10"/>
      <c r="K31" s="10"/>
      <c r="L31" s="10"/>
      <c r="M31" s="11"/>
      <c r="N31" s="12"/>
      <c r="O31" s="13"/>
      <c r="P31" s="14">
        <f>IF(O31="","",IF(Q31="Not Applied","",TODAY()-O31))</f>
      </c>
      <c r="Q31" s="12"/>
      <c r="R31" s="13"/>
      <c r="S31" s="15"/>
      <c r="T31" s="15"/>
      <c r="U31" s="15"/>
    </row>
    <row r="32" ht="39.55" customHeight="1" spans="1:21" x14ac:dyDescent="0.25">
      <c r="A32" s="9"/>
      <c r="B32" s="10"/>
      <c r="C32" s="10"/>
      <c r="D32" s="11"/>
      <c r="E32" s="11"/>
      <c r="F32" s="10"/>
      <c r="G32" s="10"/>
      <c r="H32" s="11"/>
      <c r="I32" s="11"/>
      <c r="J32" s="10"/>
      <c r="K32" s="10"/>
      <c r="L32" s="10"/>
      <c r="M32" s="11"/>
      <c r="N32" s="12"/>
      <c r="O32" s="13"/>
      <c r="P32" s="14">
        <f>IF(O32="","",IF(Q32="Not Applied","",TODAY()-O32))</f>
      </c>
      <c r="Q32" s="12"/>
      <c r="R32" s="13"/>
      <c r="S32" s="15"/>
      <c r="T32" s="15"/>
      <c r="U32" s="15"/>
    </row>
    <row r="33" ht="39.55" customHeight="1" spans="1:21" x14ac:dyDescent="0.25">
      <c r="A33" s="9"/>
      <c r="B33" s="10"/>
      <c r="C33" s="10"/>
      <c r="D33" s="11"/>
      <c r="E33" s="11"/>
      <c r="F33" s="10"/>
      <c r="G33" s="10"/>
      <c r="H33" s="11"/>
      <c r="I33" s="11"/>
      <c r="J33" s="10"/>
      <c r="K33" s="10"/>
      <c r="L33" s="10"/>
      <c r="M33" s="11"/>
      <c r="N33" s="12"/>
      <c r="O33" s="13"/>
      <c r="P33" s="14">
        <f>IF(O33="","",IF(Q33="Not Applied","",TODAY()-O33))</f>
      </c>
      <c r="Q33" s="12"/>
      <c r="R33" s="13"/>
      <c r="S33" s="15"/>
      <c r="T33" s="15"/>
      <c r="U33" s="15"/>
    </row>
    <row r="34" ht="39.55" customHeight="1" spans="1:21" x14ac:dyDescent="0.25">
      <c r="A34" s="9"/>
      <c r="B34" s="10"/>
      <c r="C34" s="10"/>
      <c r="D34" s="11"/>
      <c r="E34" s="11"/>
      <c r="F34" s="10"/>
      <c r="G34" s="10"/>
      <c r="H34" s="11"/>
      <c r="I34" s="11"/>
      <c r="J34" s="10"/>
      <c r="K34" s="10"/>
      <c r="L34" s="10"/>
      <c r="M34" s="11"/>
      <c r="N34" s="12"/>
      <c r="O34" s="13"/>
      <c r="P34" s="14">
        <f>IF(O34="","",IF(Q34="Not Applied","",TODAY()-O34))</f>
      </c>
      <c r="Q34" s="12"/>
      <c r="R34" s="13"/>
      <c r="S34" s="15"/>
      <c r="T34" s="15"/>
      <c r="U34" s="15"/>
    </row>
    <row r="35" ht="39.55" customHeight="1" spans="1:21" x14ac:dyDescent="0.25">
      <c r="A35" s="9"/>
      <c r="B35" s="10"/>
      <c r="C35" s="10"/>
      <c r="D35" s="11"/>
      <c r="E35" s="11"/>
      <c r="F35" s="10"/>
      <c r="G35" s="10"/>
      <c r="H35" s="11"/>
      <c r="I35" s="11"/>
      <c r="J35" s="10"/>
      <c r="K35" s="10"/>
      <c r="L35" s="10"/>
      <c r="M35" s="11"/>
      <c r="N35" s="12"/>
      <c r="O35" s="13"/>
      <c r="P35" s="14">
        <f>IF(O35="","",IF(Q35="Not Applied","",TODAY()-O35))</f>
      </c>
      <c r="Q35" s="12"/>
      <c r="R35" s="13"/>
      <c r="S35" s="15"/>
      <c r="T35" s="15"/>
      <c r="U35" s="15"/>
    </row>
    <row r="36" ht="39.55" customHeight="1" spans="1:21" x14ac:dyDescent="0.25">
      <c r="A36" s="9"/>
      <c r="B36" s="10"/>
      <c r="C36" s="10"/>
      <c r="D36" s="11"/>
      <c r="E36" s="11"/>
      <c r="F36" s="10"/>
      <c r="G36" s="10"/>
      <c r="H36" s="11"/>
      <c r="I36" s="11"/>
      <c r="J36" s="10"/>
      <c r="K36" s="10"/>
      <c r="L36" s="10"/>
      <c r="M36" s="11"/>
      <c r="N36" s="12"/>
      <c r="O36" s="13"/>
      <c r="P36" s="14">
        <f>IF(O36="","",IF(Q36="Not Applied","",TODAY()-O36))</f>
      </c>
      <c r="Q36" s="12"/>
      <c r="R36" s="13"/>
      <c r="S36" s="15"/>
      <c r="T36" s="15"/>
      <c r="U36" s="15"/>
    </row>
    <row r="37" ht="39.55" customHeight="1" spans="1:21" x14ac:dyDescent="0.25">
      <c r="A37" s="9"/>
      <c r="B37" s="10"/>
      <c r="C37" s="10"/>
      <c r="D37" s="11"/>
      <c r="E37" s="11"/>
      <c r="F37" s="10"/>
      <c r="G37" s="10"/>
      <c r="H37" s="11"/>
      <c r="I37" s="11"/>
      <c r="J37" s="10"/>
      <c r="K37" s="10"/>
      <c r="L37" s="10"/>
      <c r="M37" s="11"/>
      <c r="N37" s="12"/>
      <c r="O37" s="13"/>
      <c r="P37" s="14">
        <f>IF(O37="","",IF(Q37="Not Applied","",TODAY()-O37))</f>
      </c>
      <c r="Q37" s="12"/>
      <c r="R37" s="13"/>
      <c r="S37" s="15"/>
      <c r="T37" s="15"/>
      <c r="U37" s="15"/>
    </row>
    <row r="38" ht="39.55" customHeight="1" spans="1:21" x14ac:dyDescent="0.25">
      <c r="A38" s="9"/>
      <c r="B38" s="10"/>
      <c r="C38" s="10"/>
      <c r="D38" s="11"/>
      <c r="E38" s="11"/>
      <c r="F38" s="10"/>
      <c r="G38" s="10"/>
      <c r="H38" s="11"/>
      <c r="I38" s="11"/>
      <c r="J38" s="10"/>
      <c r="K38" s="10"/>
      <c r="L38" s="10"/>
      <c r="M38" s="11"/>
      <c r="N38" s="12"/>
      <c r="O38" s="13"/>
      <c r="P38" s="14">
        <f>IF(O38="","",IF(Q38="Not Applied","",TODAY()-O38))</f>
      </c>
      <c r="Q38" s="12"/>
      <c r="R38" s="13"/>
      <c r="S38" s="15"/>
      <c r="T38" s="15"/>
      <c r="U38" s="15"/>
    </row>
    <row r="39" ht="39.55" customHeight="1" spans="1:21" x14ac:dyDescent="0.25">
      <c r="A39" s="9"/>
      <c r="B39" s="10"/>
      <c r="C39" s="10"/>
      <c r="D39" s="11"/>
      <c r="E39" s="11"/>
      <c r="F39" s="10"/>
      <c r="G39" s="10"/>
      <c r="H39" s="11"/>
      <c r="I39" s="11"/>
      <c r="J39" s="10"/>
      <c r="K39" s="10"/>
      <c r="L39" s="10"/>
      <c r="M39" s="11"/>
      <c r="N39" s="12"/>
      <c r="O39" s="13"/>
      <c r="P39" s="14">
        <f>IF(O39="","",IF(Q39="Not Applied","",TODAY()-O39))</f>
      </c>
      <c r="Q39" s="12"/>
      <c r="R39" s="13"/>
      <c r="S39" s="15"/>
      <c r="T39" s="15"/>
      <c r="U39" s="15"/>
    </row>
    <row r="40" ht="39.55" customHeight="1" spans="1:21" x14ac:dyDescent="0.25">
      <c r="A40" s="9"/>
      <c r="B40" s="10"/>
      <c r="C40" s="10"/>
      <c r="D40" s="11"/>
      <c r="E40" s="11"/>
      <c r="F40" s="10"/>
      <c r="G40" s="10"/>
      <c r="H40" s="11"/>
      <c r="I40" s="11"/>
      <c r="J40" s="10"/>
      <c r="K40" s="10"/>
      <c r="L40" s="10"/>
      <c r="M40" s="11"/>
      <c r="N40" s="12"/>
      <c r="O40" s="13"/>
      <c r="P40" s="14">
        <f>IF(O40="","",IF(Q40="Not Applied","",TODAY()-O40))</f>
      </c>
      <c r="Q40" s="12"/>
      <c r="R40" s="13"/>
      <c r="S40" s="15"/>
      <c r="T40" s="15"/>
      <c r="U40" s="15"/>
    </row>
    <row r="41" ht="39.55" customHeight="1" spans="1:21" x14ac:dyDescent="0.25">
      <c r="A41" s="9"/>
      <c r="B41" s="10"/>
      <c r="C41" s="10"/>
      <c r="D41" s="11"/>
      <c r="E41" s="11"/>
      <c r="F41" s="10"/>
      <c r="G41" s="10"/>
      <c r="H41" s="11"/>
      <c r="I41" s="11"/>
      <c r="J41" s="10"/>
      <c r="K41" s="10"/>
      <c r="L41" s="10"/>
      <c r="M41" s="11"/>
      <c r="N41" s="12"/>
      <c r="O41" s="13"/>
      <c r="P41" s="14">
        <f>IF(O41="","",IF(Q41="Not Applied","",TODAY()-O41))</f>
      </c>
      <c r="Q41" s="12"/>
      <c r="R41" s="13"/>
      <c r="S41" s="15"/>
      <c r="T41" s="15"/>
      <c r="U41" s="15"/>
    </row>
    <row r="42" ht="39.55" customHeight="1" spans="1:21" x14ac:dyDescent="0.25">
      <c r="A42" s="9"/>
      <c r="B42" s="10"/>
      <c r="C42" s="10"/>
      <c r="D42" s="11"/>
      <c r="E42" s="11"/>
      <c r="F42" s="10"/>
      <c r="G42" s="10"/>
      <c r="H42" s="11"/>
      <c r="I42" s="11"/>
      <c r="J42" s="10"/>
      <c r="K42" s="10"/>
      <c r="L42" s="10"/>
      <c r="M42" s="11"/>
      <c r="N42" s="12"/>
      <c r="O42" s="13"/>
      <c r="P42" s="14">
        <f>IF(O42="","",IF(Q42="Not Applied","",TODAY()-O42))</f>
      </c>
      <c r="Q42" s="12"/>
      <c r="R42" s="13"/>
      <c r="S42" s="15"/>
      <c r="T42" s="15"/>
      <c r="U42" s="15"/>
    </row>
    <row r="43" ht="39.55" customHeight="1" spans="1:21" x14ac:dyDescent="0.25">
      <c r="A43" s="9"/>
      <c r="B43" s="10"/>
      <c r="C43" s="10"/>
      <c r="D43" s="11"/>
      <c r="E43" s="11"/>
      <c r="F43" s="10"/>
      <c r="G43" s="10"/>
      <c r="H43" s="11"/>
      <c r="I43" s="11"/>
      <c r="J43" s="10"/>
      <c r="K43" s="10"/>
      <c r="L43" s="10"/>
      <c r="M43" s="11"/>
      <c r="N43" s="12"/>
      <c r="O43" s="13"/>
      <c r="P43" s="14">
        <f>IF(O43="","",IF(Q43="Not Applied","",TODAY()-O43))</f>
      </c>
      <c r="Q43" s="12"/>
      <c r="R43" s="13"/>
      <c r="S43" s="15"/>
      <c r="T43" s="15"/>
      <c r="U43" s="15"/>
    </row>
    <row r="44" ht="39.55" customHeight="1" spans="1:21" x14ac:dyDescent="0.25">
      <c r="A44" s="9"/>
      <c r="B44" s="10"/>
      <c r="C44" s="10"/>
      <c r="D44" s="11"/>
      <c r="E44" s="11"/>
      <c r="F44" s="10"/>
      <c r="G44" s="10"/>
      <c r="H44" s="11"/>
      <c r="I44" s="11"/>
      <c r="J44" s="10"/>
      <c r="K44" s="10"/>
      <c r="L44" s="10"/>
      <c r="M44" s="11"/>
      <c r="N44" s="12"/>
      <c r="O44" s="13"/>
      <c r="P44" s="14">
        <f>IF(O44="","",IF(Q44="Not Applied","",TODAY()-O44))</f>
      </c>
      <c r="Q44" s="12"/>
      <c r="R44" s="13"/>
      <c r="S44" s="15"/>
      <c r="T44" s="15"/>
      <c r="U44" s="15"/>
    </row>
    <row r="45" ht="39.55" customHeight="1" spans="1:21" x14ac:dyDescent="0.25">
      <c r="A45" s="9"/>
      <c r="B45" s="10"/>
      <c r="C45" s="10"/>
      <c r="D45" s="11"/>
      <c r="E45" s="11"/>
      <c r="F45" s="10"/>
      <c r="G45" s="10"/>
      <c r="H45" s="11"/>
      <c r="I45" s="11"/>
      <c r="J45" s="10"/>
      <c r="K45" s="10"/>
      <c r="L45" s="10"/>
      <c r="M45" s="11"/>
      <c r="N45" s="12"/>
      <c r="O45" s="13"/>
      <c r="P45" s="14">
        <f>IF(O45="","",IF(Q45="Not Applied","",TODAY()-O45))</f>
      </c>
      <c r="Q45" s="12"/>
      <c r="R45" s="13"/>
      <c r="S45" s="15"/>
      <c r="T45" s="15"/>
      <c r="U45" s="15"/>
    </row>
    <row r="46" ht="39.55" customHeight="1" spans="1:21" x14ac:dyDescent="0.25">
      <c r="A46" s="9"/>
      <c r="B46" s="10"/>
      <c r="C46" s="10"/>
      <c r="D46" s="11"/>
      <c r="E46" s="11"/>
      <c r="F46" s="10"/>
      <c r="G46" s="10"/>
      <c r="H46" s="11"/>
      <c r="I46" s="11"/>
      <c r="J46" s="10"/>
      <c r="K46" s="10"/>
      <c r="L46" s="10"/>
      <c r="M46" s="11"/>
      <c r="N46" s="12"/>
      <c r="O46" s="13"/>
      <c r="P46" s="14">
        <f>IF(O46="","",IF(Q46="Not Applied","",TODAY()-O46))</f>
      </c>
      <c r="Q46" s="12"/>
      <c r="R46" s="13"/>
      <c r="S46" s="15"/>
      <c r="T46" s="15"/>
      <c r="U46" s="15"/>
    </row>
    <row r="47" ht="39.55" customHeight="1" spans="1:21" x14ac:dyDescent="0.25">
      <c r="A47" s="9"/>
      <c r="B47" s="10"/>
      <c r="C47" s="10"/>
      <c r="D47" s="11"/>
      <c r="E47" s="11"/>
      <c r="F47" s="10"/>
      <c r="G47" s="10"/>
      <c r="H47" s="11"/>
      <c r="I47" s="11"/>
      <c r="J47" s="10"/>
      <c r="K47" s="10"/>
      <c r="L47" s="10"/>
      <c r="M47" s="11"/>
      <c r="N47" s="12"/>
      <c r="O47" s="13"/>
      <c r="P47" s="14">
        <f>IF(O47="","",IF(Q47="Not Applied","",TODAY()-O47))</f>
      </c>
      <c r="Q47" s="12"/>
      <c r="R47" s="13"/>
      <c r="S47" s="15"/>
      <c r="T47" s="15"/>
      <c r="U47" s="15"/>
    </row>
    <row r="48" ht="39.55" customHeight="1" spans="1:21" x14ac:dyDescent="0.25">
      <c r="A48" s="9"/>
      <c r="B48" s="10"/>
      <c r="C48" s="10"/>
      <c r="D48" s="11"/>
      <c r="E48" s="11"/>
      <c r="F48" s="10"/>
      <c r="G48" s="10"/>
      <c r="H48" s="11"/>
      <c r="I48" s="11"/>
      <c r="J48" s="10"/>
      <c r="K48" s="10"/>
      <c r="L48" s="10"/>
      <c r="M48" s="11"/>
      <c r="N48" s="12"/>
      <c r="O48" s="13"/>
      <c r="P48" s="14">
        <f>IF(O48="","",IF(Q48="Not Applied","",TODAY()-O48))</f>
      </c>
      <c r="Q48" s="12"/>
      <c r="R48" s="13"/>
      <c r="S48" s="15"/>
      <c r="T48" s="15"/>
      <c r="U48" s="15"/>
    </row>
    <row r="49" ht="39.55" customHeight="1" spans="1:21" x14ac:dyDescent="0.25">
      <c r="A49" s="9"/>
      <c r="B49" s="10"/>
      <c r="C49" s="10"/>
      <c r="D49" s="11"/>
      <c r="E49" s="11"/>
      <c r="F49" s="10"/>
      <c r="G49" s="10"/>
      <c r="H49" s="11"/>
      <c r="I49" s="11"/>
      <c r="J49" s="10"/>
      <c r="K49" s="10"/>
      <c r="L49" s="10"/>
      <c r="M49" s="11"/>
      <c r="N49" s="12"/>
      <c r="O49" s="13"/>
      <c r="P49" s="14">
        <f>IF(O49="","",IF(Q49="Not Applied","",TODAY()-O49))</f>
      </c>
      <c r="Q49" s="12"/>
      <c r="R49" s="13"/>
      <c r="S49" s="15"/>
      <c r="T49" s="15"/>
      <c r="U49" s="15"/>
    </row>
    <row r="50" ht="39.55" customHeight="1" spans="1:21" x14ac:dyDescent="0.25">
      <c r="A50" s="9"/>
      <c r="B50" s="10"/>
      <c r="C50" s="10"/>
      <c r="D50" s="11"/>
      <c r="E50" s="11"/>
      <c r="F50" s="10"/>
      <c r="G50" s="10"/>
      <c r="H50" s="11"/>
      <c r="I50" s="11"/>
      <c r="J50" s="10"/>
      <c r="K50" s="10"/>
      <c r="L50" s="10"/>
      <c r="M50" s="11"/>
      <c r="N50" s="12"/>
      <c r="O50" s="13"/>
      <c r="P50" s="14">
        <f>IF(O50="","",IF(Q50="Not Applied","",TODAY()-O50))</f>
      </c>
      <c r="Q50" s="12"/>
      <c r="R50" s="13"/>
      <c r="S50" s="15"/>
      <c r="T50" s="15"/>
      <c r="U50" s="15"/>
    </row>
    <row r="51" ht="39.55" customHeight="1" spans="1:21" x14ac:dyDescent="0.25">
      <c r="A51" s="9"/>
      <c r="B51" s="10"/>
      <c r="C51" s="10"/>
      <c r="D51" s="11"/>
      <c r="E51" s="11"/>
      <c r="F51" s="10"/>
      <c r="G51" s="10"/>
      <c r="H51" s="11"/>
      <c r="I51" s="11"/>
      <c r="J51" s="10"/>
      <c r="K51" s="10"/>
      <c r="L51" s="10"/>
      <c r="M51" s="11"/>
      <c r="N51" s="12"/>
      <c r="O51" s="13"/>
      <c r="P51" s="14">
        <f>IF(O51="","",IF(Q51="Not Applied","",TODAY()-O51))</f>
      </c>
      <c r="Q51" s="12"/>
      <c r="R51" s="13"/>
      <c r="S51" s="15"/>
      <c r="T51" s="15"/>
      <c r="U51" s="15"/>
    </row>
    <row r="52" ht="39.55" customHeight="1" spans="1:21" x14ac:dyDescent="0.25">
      <c r="A52" s="9"/>
      <c r="B52" s="10"/>
      <c r="C52" s="10"/>
      <c r="D52" s="11"/>
      <c r="E52" s="11"/>
      <c r="F52" s="10"/>
      <c r="G52" s="10"/>
      <c r="H52" s="11"/>
      <c r="I52" s="11"/>
      <c r="J52" s="10"/>
      <c r="K52" s="10"/>
      <c r="L52" s="10"/>
      <c r="M52" s="11"/>
      <c r="N52" s="12"/>
      <c r="O52" s="13"/>
      <c r="P52" s="14">
        <f>IF(O52="","",IF(Q52="Not Applied","",TODAY()-O52))</f>
      </c>
      <c r="Q52" s="12"/>
      <c r="R52" s="13"/>
      <c r="S52" s="15"/>
      <c r="T52" s="15"/>
      <c r="U52" s="15"/>
    </row>
  </sheetData>
  <autoFilter ref="A1:U52"/>
  <conditionalFormatting sqref="B2:U52">
    <cfRule type="expression" dxfId="0" priority="1">
      <formula>$Q2="Offer"</formula>
    </cfRule>
    <cfRule type="expression" dxfId="1" priority="2">
      <formula>$Q2="Accepted"</formula>
    </cfRule>
    <cfRule type="expression" dxfId="2" priority="3">
      <formula>$Q2="Rejected"</formula>
    </cfRule>
    <cfRule type="expression" dxfId="3" priority="4">
      <formula>$Q2="Withdrawn"</formula>
    </cfRule>
    <cfRule type="expression" dxfId="4" priority="5">
      <formula>$Q2="Interview Scheduled"</formula>
    </cfRule>
    <cfRule type="expression" dxfId="5" priority="6">
      <formula>$Q2="Interviewing"</formula>
    </cfRule>
    <cfRule type="expression" dxfId="6" priority="7">
      <formula>$Q2="Phone Screen"</formula>
    </cfRule>
    <cfRule type="expression" dxfId="7" priority="8">
      <formula>$Q2="Applied"</formula>
    </cfRule>
    <cfRule type="expression" dxfId="8" priority="9">
      <formula>$Q2="No Response"</formula>
    </cfRule>
  </conditionalFormatting>
  <dataValidations count="4">
    <dataValidation type="list" allowBlank="1" sqref="N2:N52">
      <formula1>"Yes,No"</formula1>
    </dataValidation>
    <dataValidation type="list" allowBlank="1" sqref="Q2:Q52">
      <formula1>"Not Applied,Applied,No Response,Phone Screen,Interview Scheduled,Interviewing,Offer,Accepted,Rejected,Withdrawn"</formula1>
    </dataValidation>
    <dataValidation type="list" allowBlank="1" sqref="I2:I52">
      <formula1>"High,Medium,Stretch,Low"</formula1>
    </dataValidation>
    <dataValidation type="date" allowBlank="1" operator="greaterThan" showErrorMessage="1" error="Enter a date like 2026-10-05" sqref="O2:O52 R2:R52">
      <formula1>DATE(2020,1,1)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Job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2026-10-17T00:07:31Z</dcterms:created>
  <dcterms:modified xsi:type="dcterms:W3CDTF">2026-10-17T00:07:31Z</dcterms:modified>
</cp:coreProperties>
</file>